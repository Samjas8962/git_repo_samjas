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25B\EXCELCNV\bc90e18c-a9bf-4e81-b679-abf3e0510b95\"/>
    </mc:Choice>
  </mc:AlternateContent>
  <xr:revisionPtr revIDLastSave="103" documentId="8_{A82E4942-F37E-4F3E-A845-2E2609CD9EA5}" xr6:coauthVersionLast="47" xr6:coauthVersionMax="47" xr10:uidLastSave="{371AF69A-6F4F-4BE7-9BB6-5690B03F0494}"/>
  <bookViews>
    <workbookView xWindow="-60" yWindow="-60" windowWidth="15480" windowHeight="11640" xr2:uid="{0343C517-C4AD-424B-A98F-F2AB10B7B17C}"/>
  </bookViews>
  <sheets>
    <sheet name="in" sheetId="1" r:id="rId1"/>
  </sheets>
  <definedNames>
    <definedName name="_xlnm._FilterDatabase" localSheetId="0" hidden="1">in!$A$1:$E$51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<sst xmlns="http://schemas.openxmlformats.org/spreadsheetml/2006/main" count="87" uniqueCount="33">
  <si>
    <t>RD_Spend</t>
  </si>
  <si>
    <t>Administration</t>
  </si>
  <si>
    <t>Marketing_Spend</t>
  </si>
  <si>
    <t>State</t>
  </si>
  <si>
    <t>Profit</t>
  </si>
  <si>
    <t>SUMMARY OUTPUT</t>
  </si>
  <si>
    <t>New York</t>
  </si>
  <si>
    <t>intercept</t>
  </si>
  <si>
    <t>California</t>
  </si>
  <si>
    <t>Regression Statistics</t>
  </si>
  <si>
    <t>RD</t>
  </si>
  <si>
    <t>Florida</t>
  </si>
  <si>
    <t>Multiple R</t>
  </si>
  <si>
    <t>R Square</t>
  </si>
  <si>
    <t>marketing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</si>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</sst>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485C84-6D5B-4104-8452-23EFCECA54D5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D8B62B8A-87C9-4EAC-ACB9-E497EC56CD16}"/>
    <we:binding id="InputY" type="matrix" appref="{E0D91CED-767E-4B6C-99EA-C6F894FFEE49}"/>
    <we:binding id="InputX" type="matrix" appref="{CBAA2BFA-0E23-48C3-82FE-A3DAA210B704}"/>
    <we:binding id="Output" type="matrix" appref="{AA31CE06-D196-4FD4-9EEE-85AB33F6AC65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A266-7338-4058-944D-AB1188C2F991}">
  <dimension ref="A1:S51"/>
  <sheetViews>
    <sheetView tabSelected="1" workbookViewId="0">
      <selection activeCell="E2" sqref="E2"/>
    </sheetView>
  </sheetViews>
  <sheetFormatPr defaultRowHeight="15"/>
  <cols>
    <col min="9" max="9" width="12.28515625" bestFit="1" customWidth="1"/>
    <col min="10" max="10" width="12.85546875" bestFit="1" customWidth="1"/>
    <col min="11" max="11" width="13.85546875" bestFit="1" customWidth="1"/>
    <col min="12" max="12" width="10.85546875" bestFit="1" customWidth="1"/>
    <col min="18" max="18" width="13.8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19">
      <c r="A2">
        <v>165349.20000000001</v>
      </c>
      <c r="B2">
        <v>136897.79999999999</v>
      </c>
      <c r="C2">
        <v>471784.1</v>
      </c>
      <c r="D2" t="s">
        <v>6</v>
      </c>
      <c r="E2">
        <f>50122.193+(0.806*A2)-(0.026*B2)+(0.027*C2)</f>
        <v>192572.4761</v>
      </c>
      <c r="R2" t="s">
        <v>7</v>
      </c>
      <c r="S2">
        <v>50122.192989879601</v>
      </c>
    </row>
    <row r="3" spans="1:19">
      <c r="A3">
        <v>162597.70000000001</v>
      </c>
      <c r="B3">
        <v>151377.59</v>
      </c>
      <c r="C3">
        <v>443898.53</v>
      </c>
      <c r="D3" t="s">
        <v>8</v>
      </c>
      <c r="E3">
        <f t="shared" ref="E3:E51" si="0">50122.193+(0.806*A3)-(0.026*B3)+(0.027*C3)</f>
        <v>189225.38217000003</v>
      </c>
      <c r="H3" t="s">
        <v>9</v>
      </c>
      <c r="R3" t="s">
        <v>10</v>
      </c>
      <c r="S3" s="2">
        <v>0.80571504991563003</v>
      </c>
    </row>
    <row r="4" spans="1:19">
      <c r="A4">
        <v>153441.51</v>
      </c>
      <c r="B4">
        <v>101145.55</v>
      </c>
      <c r="C4">
        <v>407934.54</v>
      </c>
      <c r="D4" t="s">
        <v>11</v>
      </c>
      <c r="E4">
        <f t="shared" si="0"/>
        <v>182180.49834000002</v>
      </c>
      <c r="H4" t="s">
        <v>12</v>
      </c>
      <c r="I4">
        <v>0.97506204626594095</v>
      </c>
      <c r="L4" s="2"/>
      <c r="R4" t="s">
        <v>1</v>
      </c>
    </row>
    <row r="5" spans="1:19">
      <c r="A5">
        <v>144372.41</v>
      </c>
      <c r="B5">
        <v>118671.85</v>
      </c>
      <c r="C5">
        <v>383199.62</v>
      </c>
      <c r="D5" t="s">
        <v>6</v>
      </c>
      <c r="E5">
        <f t="shared" si="0"/>
        <v>173747.27710000001</v>
      </c>
      <c r="H5" t="s">
        <v>13</v>
      </c>
      <c r="I5">
        <v>0.95074599406832405</v>
      </c>
      <c r="L5" s="2"/>
      <c r="R5" t="s">
        <v>14</v>
      </c>
    </row>
    <row r="6" spans="1:19">
      <c r="A6">
        <v>142107.34</v>
      </c>
      <c r="B6">
        <v>91391.77</v>
      </c>
      <c r="C6">
        <v>366168.42</v>
      </c>
      <c r="D6" t="s">
        <v>11</v>
      </c>
      <c r="E6">
        <f t="shared" si="0"/>
        <v>172171.07035999998</v>
      </c>
      <c r="H6" t="s">
        <v>15</v>
      </c>
      <c r="I6">
        <v>0.94753377629017099</v>
      </c>
      <c r="L6" s="2"/>
    </row>
    <row r="7" spans="1:19">
      <c r="A7">
        <v>131876.9</v>
      </c>
      <c r="B7">
        <v>99814.71</v>
      </c>
      <c r="C7">
        <v>362861.36</v>
      </c>
      <c r="D7" t="s">
        <v>6</v>
      </c>
      <c r="E7">
        <f t="shared" si="0"/>
        <v>163617.04866</v>
      </c>
      <c r="H7" t="s">
        <v>16</v>
      </c>
      <c r="I7">
        <v>9232.3348370026797</v>
      </c>
      <c r="L7" s="2"/>
    </row>
    <row r="8" spans="1:19">
      <c r="A8">
        <v>134615.46</v>
      </c>
      <c r="B8">
        <v>147198.87</v>
      </c>
      <c r="C8">
        <v>127716.82</v>
      </c>
      <c r="D8" t="s">
        <v>8</v>
      </c>
      <c r="E8">
        <f t="shared" si="0"/>
        <v>158243.43728000001</v>
      </c>
      <c r="H8" t="s">
        <v>17</v>
      </c>
      <c r="I8">
        <v>50</v>
      </c>
    </row>
    <row r="9" spans="1:19">
      <c r="A9">
        <v>130298.13</v>
      </c>
      <c r="B9">
        <v>145530.06</v>
      </c>
      <c r="C9">
        <v>323876.68</v>
      </c>
      <c r="D9" t="s">
        <v>11</v>
      </c>
      <c r="E9">
        <f t="shared" si="0"/>
        <v>160103.37457999997</v>
      </c>
    </row>
    <row r="10" spans="1:19">
      <c r="A10">
        <v>120542.52</v>
      </c>
      <c r="B10">
        <v>148718.95000000001</v>
      </c>
      <c r="C10">
        <v>311613.28999999998</v>
      </c>
      <c r="D10" t="s">
        <v>6</v>
      </c>
      <c r="E10">
        <f t="shared" si="0"/>
        <v>151826.33025</v>
      </c>
      <c r="H10" t="s">
        <v>18</v>
      </c>
    </row>
    <row r="11" spans="1:19">
      <c r="A11">
        <v>123334.88</v>
      </c>
      <c r="B11">
        <v>108679.17</v>
      </c>
      <c r="C11">
        <v>304981.62</v>
      </c>
      <c r="D11" t="s">
        <v>8</v>
      </c>
      <c r="E11">
        <f t="shared" si="0"/>
        <v>154938.95160000003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</row>
    <row r="12" spans="1:19">
      <c r="A12">
        <v>101913.08</v>
      </c>
      <c r="B12">
        <v>110594.11</v>
      </c>
      <c r="C12">
        <v>229160.95</v>
      </c>
      <c r="D12" t="s">
        <v>11</v>
      </c>
      <c r="E12">
        <f t="shared" si="0"/>
        <v>135576.03427</v>
      </c>
      <c r="H12" t="s">
        <v>24</v>
      </c>
      <c r="I12">
        <v>3</v>
      </c>
      <c r="J12">
        <v>75683964196.192596</v>
      </c>
      <c r="K12">
        <v>25227988065.397499</v>
      </c>
      <c r="L12">
        <v>295.97806242610102</v>
      </c>
      <c r="M12">
        <v>0</v>
      </c>
    </row>
    <row r="13" spans="1:19">
      <c r="A13">
        <v>100671.96</v>
      </c>
      <c r="B13">
        <v>91790.61</v>
      </c>
      <c r="C13">
        <v>249744.55</v>
      </c>
      <c r="D13" t="s">
        <v>8</v>
      </c>
      <c r="E13">
        <f t="shared" si="0"/>
        <v>135620.33975000001</v>
      </c>
      <c r="H13" t="s">
        <v>25</v>
      </c>
      <c r="I13">
        <v>46</v>
      </c>
      <c r="J13">
        <v>3920856300.9565301</v>
      </c>
      <c r="K13">
        <v>85236006.542533398</v>
      </c>
    </row>
    <row r="14" spans="1:19">
      <c r="A14">
        <v>93863.75</v>
      </c>
      <c r="B14">
        <v>127320.38</v>
      </c>
      <c r="C14">
        <v>249839.44</v>
      </c>
      <c r="D14" t="s">
        <v>11</v>
      </c>
      <c r="E14">
        <f t="shared" si="0"/>
        <v>129211.7105</v>
      </c>
      <c r="H14" t="s">
        <v>26</v>
      </c>
      <c r="I14">
        <v>49</v>
      </c>
      <c r="J14">
        <v>79604820497.149094</v>
      </c>
    </row>
    <row r="15" spans="1:19">
      <c r="A15">
        <v>91992.39</v>
      </c>
      <c r="B15">
        <v>135495.07</v>
      </c>
      <c r="C15">
        <v>252664.93</v>
      </c>
      <c r="D15" t="s">
        <v>8</v>
      </c>
      <c r="E15">
        <f t="shared" si="0"/>
        <v>127567.14063000001</v>
      </c>
    </row>
    <row r="16" spans="1:19">
      <c r="A16">
        <v>119943.24</v>
      </c>
      <c r="B16">
        <v>156547.42000000001</v>
      </c>
      <c r="C16">
        <v>256512.92</v>
      </c>
      <c r="D16" t="s">
        <v>11</v>
      </c>
      <c r="E16">
        <f t="shared" si="0"/>
        <v>149652.06035999997</v>
      </c>
      <c r="I16" t="s">
        <v>27</v>
      </c>
      <c r="J16" t="s">
        <v>16</v>
      </c>
      <c r="K16" t="s">
        <v>28</v>
      </c>
      <c r="L16" t="s">
        <v>29</v>
      </c>
      <c r="M16" t="s">
        <v>30</v>
      </c>
      <c r="N16" t="s">
        <v>31</v>
      </c>
      <c r="O16" t="s">
        <v>30</v>
      </c>
      <c r="P16" t="s">
        <v>31</v>
      </c>
    </row>
    <row r="17" spans="1:16">
      <c r="A17">
        <v>114523.61</v>
      </c>
      <c r="B17">
        <v>122616.84</v>
      </c>
      <c r="C17">
        <v>261776.23</v>
      </c>
      <c r="D17" t="s">
        <v>6</v>
      </c>
      <c r="E17">
        <f t="shared" si="0"/>
        <v>146308.14303000001</v>
      </c>
      <c r="H17" t="s">
        <v>32</v>
      </c>
      <c r="I17" s="2">
        <v>50122.192989879601</v>
      </c>
      <c r="J17">
        <v>6572.35262153246</v>
      </c>
      <c r="K17">
        <v>7.6262178668972096</v>
      </c>
      <c r="L17" s="1">
        <v>1.0573791602095299E-9</v>
      </c>
      <c r="M17">
        <v>36892.733530928097</v>
      </c>
      <c r="N17">
        <v>63351.652448831097</v>
      </c>
      <c r="O17">
        <v>36892.733530928097</v>
      </c>
      <c r="P17">
        <v>63351.652448831097</v>
      </c>
    </row>
    <row r="18" spans="1:16">
      <c r="A18">
        <v>78013.11</v>
      </c>
      <c r="B18">
        <v>121597.55</v>
      </c>
      <c r="C18">
        <v>264346.06</v>
      </c>
      <c r="D18" t="s">
        <v>8</v>
      </c>
      <c r="E18">
        <f t="shared" si="0"/>
        <v>116976.56698</v>
      </c>
      <c r="H18" t="s">
        <v>0</v>
      </c>
      <c r="I18" s="2">
        <v>0.80571504991563003</v>
      </c>
      <c r="J18">
        <v>4.5147269728518097E-2</v>
      </c>
      <c r="K18">
        <v>17.8463737621476</v>
      </c>
      <c r="L18" s="1">
        <v>2.6349677215498098E-22</v>
      </c>
      <c r="M18">
        <v>0.71483831080108795</v>
      </c>
      <c r="N18">
        <v>0.896591789030171</v>
      </c>
      <c r="O18">
        <v>0.71483831080108795</v>
      </c>
      <c r="P18">
        <v>0.896591789030171</v>
      </c>
    </row>
    <row r="19" spans="1:16">
      <c r="A19">
        <v>94657.16</v>
      </c>
      <c r="B19">
        <v>145077.57999999999</v>
      </c>
      <c r="C19">
        <v>282574.31</v>
      </c>
      <c r="D19" t="s">
        <v>6</v>
      </c>
      <c r="E19">
        <f t="shared" si="0"/>
        <v>130273.35325</v>
      </c>
      <c r="H19" t="s">
        <v>1</v>
      </c>
      <c r="I19" s="2">
        <v>-2.5999999999999999E-2</v>
      </c>
      <c r="J19">
        <v>5.1028779938751302E-2</v>
      </c>
      <c r="K19">
        <v>-0.52550675181706097</v>
      </c>
      <c r="L19">
        <v>0.60175511019039396</v>
      </c>
      <c r="M19">
        <v>-0.129531573340851</v>
      </c>
      <c r="N19">
        <v>7.5899636551249705E-2</v>
      </c>
      <c r="O19">
        <v>-0.129531573340851</v>
      </c>
      <c r="P19">
        <v>7.5899636551249705E-2</v>
      </c>
    </row>
    <row r="20" spans="1:16">
      <c r="A20">
        <v>91749.16</v>
      </c>
      <c r="B20">
        <v>114175.79</v>
      </c>
      <c r="C20">
        <v>294919.57</v>
      </c>
      <c r="D20" t="s">
        <v>11</v>
      </c>
      <c r="E20">
        <f t="shared" si="0"/>
        <v>129066.27381</v>
      </c>
      <c r="H20" t="s">
        <v>2</v>
      </c>
      <c r="I20" s="2">
        <v>2.7228064800794E-2</v>
      </c>
      <c r="J20">
        <v>1.6451234517995201E-2</v>
      </c>
      <c r="K20">
        <v>1.6550772995795799</v>
      </c>
      <c r="L20">
        <v>0.10471681967329401</v>
      </c>
      <c r="M20">
        <v>-5.8865522379330298E-3</v>
      </c>
      <c r="N20">
        <v>6.0342681839521198E-2</v>
      </c>
      <c r="O20">
        <v>-5.8865522379330298E-3</v>
      </c>
      <c r="P20">
        <v>6.0342681839521198E-2</v>
      </c>
    </row>
    <row r="21" spans="1:16">
      <c r="A21">
        <v>86419.7</v>
      </c>
      <c r="B21">
        <v>153514.10999999999</v>
      </c>
      <c r="C21">
        <v>0</v>
      </c>
      <c r="D21" t="s">
        <v>6</v>
      </c>
      <c r="E21">
        <f t="shared" si="0"/>
        <v>115785.10434000001</v>
      </c>
    </row>
    <row r="22" spans="1:16">
      <c r="A22">
        <v>76253.86</v>
      </c>
      <c r="B22">
        <v>113867.3</v>
      </c>
      <c r="C22">
        <v>298664.46999999997</v>
      </c>
      <c r="D22" t="s">
        <v>8</v>
      </c>
      <c r="E22">
        <f t="shared" si="0"/>
        <v>116686.19505000001</v>
      </c>
    </row>
    <row r="23" spans="1:16">
      <c r="A23">
        <v>78389.47</v>
      </c>
      <c r="B23">
        <v>153773.43</v>
      </c>
      <c r="C23">
        <v>299737.28999999998</v>
      </c>
      <c r="D23" t="s">
        <v>6</v>
      </c>
      <c r="E23">
        <f t="shared" si="0"/>
        <v>117398.90346999999</v>
      </c>
    </row>
    <row r="24" spans="1:16">
      <c r="A24">
        <v>73994.559999999998</v>
      </c>
      <c r="B24">
        <v>122782.75</v>
      </c>
      <c r="C24">
        <v>303319.26</v>
      </c>
      <c r="D24" t="s">
        <v>11</v>
      </c>
      <c r="E24">
        <f t="shared" si="0"/>
        <v>114759.07687999999</v>
      </c>
    </row>
    <row r="25" spans="1:16">
      <c r="A25">
        <v>67532.53</v>
      </c>
      <c r="B25">
        <v>105751.03</v>
      </c>
      <c r="C25">
        <v>304768.73</v>
      </c>
      <c r="D25" t="s">
        <v>11</v>
      </c>
      <c r="E25">
        <f t="shared" si="0"/>
        <v>110032.64111</v>
      </c>
    </row>
    <row r="26" spans="1:16">
      <c r="A26">
        <v>77044.009999999995</v>
      </c>
      <c r="B26">
        <v>99281.34</v>
      </c>
      <c r="C26">
        <v>140574.81</v>
      </c>
      <c r="D26" t="s">
        <v>6</v>
      </c>
      <c r="E26">
        <f t="shared" si="0"/>
        <v>113433.87009</v>
      </c>
    </row>
    <row r="27" spans="1:16">
      <c r="A27">
        <v>64664.71</v>
      </c>
      <c r="B27">
        <v>139553.16</v>
      </c>
      <c r="C27">
        <v>137962.62</v>
      </c>
      <c r="D27" t="s">
        <v>8</v>
      </c>
      <c r="E27">
        <f t="shared" si="0"/>
        <v>102338.55783999999</v>
      </c>
    </row>
    <row r="28" spans="1:16">
      <c r="A28">
        <v>75328.87</v>
      </c>
      <c r="B28">
        <v>144135.98000000001</v>
      </c>
      <c r="C28">
        <v>134050.07</v>
      </c>
      <c r="D28" t="s">
        <v>11</v>
      </c>
      <c r="E28">
        <f t="shared" si="0"/>
        <v>110709.07863</v>
      </c>
    </row>
    <row r="29" spans="1:16">
      <c r="A29">
        <v>72107.600000000006</v>
      </c>
      <c r="B29">
        <v>127864.55</v>
      </c>
      <c r="C29">
        <v>353183.81</v>
      </c>
      <c r="D29" t="s">
        <v>6</v>
      </c>
      <c r="E29">
        <f t="shared" si="0"/>
        <v>114452.40317000001</v>
      </c>
    </row>
    <row r="30" spans="1:16">
      <c r="A30">
        <v>66051.520000000004</v>
      </c>
      <c r="B30">
        <v>182645.56</v>
      </c>
      <c r="C30">
        <v>118148.2</v>
      </c>
      <c r="D30" t="s">
        <v>11</v>
      </c>
      <c r="E30">
        <f t="shared" si="0"/>
        <v>101800.93496</v>
      </c>
    </row>
    <row r="31" spans="1:16">
      <c r="A31">
        <v>65605.48</v>
      </c>
      <c r="B31">
        <v>153032.06</v>
      </c>
      <c r="C31">
        <v>107138.38</v>
      </c>
      <c r="D31" t="s">
        <v>6</v>
      </c>
      <c r="E31">
        <f t="shared" si="0"/>
        <v>101914.11258000002</v>
      </c>
    </row>
    <row r="32" spans="1:16">
      <c r="A32">
        <v>61994.48</v>
      </c>
      <c r="B32">
        <v>115641.28</v>
      </c>
      <c r="C32">
        <v>91131.24</v>
      </c>
      <c r="D32" t="s">
        <v>11</v>
      </c>
      <c r="E32">
        <f t="shared" si="0"/>
        <v>99543.614079999999</v>
      </c>
    </row>
    <row r="33" spans="1:5">
      <c r="A33">
        <v>61136.38</v>
      </c>
      <c r="B33">
        <v>152701.92000000001</v>
      </c>
      <c r="C33">
        <v>88218.23</v>
      </c>
      <c r="D33" t="s">
        <v>6</v>
      </c>
      <c r="E33">
        <f t="shared" si="0"/>
        <v>97809.757570000002</v>
      </c>
    </row>
    <row r="34" spans="1:5">
      <c r="A34">
        <v>63408.86</v>
      </c>
      <c r="B34">
        <v>129219.61</v>
      </c>
      <c r="C34">
        <v>46085.25</v>
      </c>
      <c r="D34" t="s">
        <v>8</v>
      </c>
      <c r="E34">
        <f t="shared" si="0"/>
        <v>99114.326049999989</v>
      </c>
    </row>
    <row r="35" spans="1:5">
      <c r="A35">
        <v>55493.95</v>
      </c>
      <c r="B35">
        <v>103057.49</v>
      </c>
      <c r="C35">
        <v>214634.81</v>
      </c>
      <c r="D35" t="s">
        <v>11</v>
      </c>
      <c r="E35">
        <f t="shared" si="0"/>
        <v>97965.96183</v>
      </c>
    </row>
    <row r="36" spans="1:5">
      <c r="A36">
        <v>46426.07</v>
      </c>
      <c r="B36">
        <v>157693.92000000001</v>
      </c>
      <c r="C36">
        <v>210797.67</v>
      </c>
      <c r="D36" t="s">
        <v>8</v>
      </c>
      <c r="E36">
        <f t="shared" si="0"/>
        <v>89133.100590000002</v>
      </c>
    </row>
    <row r="37" spans="1:5">
      <c r="A37">
        <v>46014.02</v>
      </c>
      <c r="B37">
        <v>85047.44</v>
      </c>
      <c r="C37">
        <v>205517.64</v>
      </c>
      <c r="D37" t="s">
        <v>6</v>
      </c>
      <c r="E37">
        <f t="shared" si="0"/>
        <v>90547.235960000005</v>
      </c>
    </row>
    <row r="38" spans="1:5">
      <c r="A38">
        <v>28663.759999999998</v>
      </c>
      <c r="B38">
        <v>127056.21</v>
      </c>
      <c r="C38">
        <v>201126.82</v>
      </c>
      <c r="D38" t="s">
        <v>11</v>
      </c>
      <c r="E38">
        <f t="shared" si="0"/>
        <v>75352.146240000002</v>
      </c>
    </row>
    <row r="39" spans="1:5">
      <c r="A39">
        <v>44069.95</v>
      </c>
      <c r="B39">
        <v>51283.14</v>
      </c>
      <c r="C39">
        <v>197029.42</v>
      </c>
      <c r="D39" t="s">
        <v>8</v>
      </c>
      <c r="E39">
        <f t="shared" si="0"/>
        <v>89629.005399999995</v>
      </c>
    </row>
    <row r="40" spans="1:5">
      <c r="A40">
        <v>20229.59</v>
      </c>
      <c r="B40">
        <v>65947.929999999993</v>
      </c>
      <c r="C40">
        <v>185265.1</v>
      </c>
      <c r="D40" t="s">
        <v>6</v>
      </c>
      <c r="E40">
        <f t="shared" si="0"/>
        <v>69714.754060000007</v>
      </c>
    </row>
    <row r="41" spans="1:5">
      <c r="A41">
        <v>38558.51</v>
      </c>
      <c r="B41">
        <v>82982.09</v>
      </c>
      <c r="C41">
        <v>174999.3</v>
      </c>
      <c r="D41" t="s">
        <v>8</v>
      </c>
      <c r="E41">
        <f t="shared" si="0"/>
        <v>83767.798820000011</v>
      </c>
    </row>
    <row r="42" spans="1:5">
      <c r="A42">
        <v>28754.33</v>
      </c>
      <c r="B42">
        <v>118546.05</v>
      </c>
      <c r="C42">
        <v>172795.67</v>
      </c>
      <c r="D42" t="s">
        <v>8</v>
      </c>
      <c r="E42">
        <f t="shared" si="0"/>
        <v>74881.468769999992</v>
      </c>
    </row>
    <row r="43" spans="1:5">
      <c r="A43">
        <v>27892.92</v>
      </c>
      <c r="B43">
        <v>84710.77</v>
      </c>
      <c r="C43">
        <v>164470.71</v>
      </c>
      <c r="D43" t="s">
        <v>11</v>
      </c>
      <c r="E43">
        <f t="shared" si="0"/>
        <v>74842.115669999999</v>
      </c>
    </row>
    <row r="44" spans="1:5">
      <c r="A44">
        <v>23640.93</v>
      </c>
      <c r="B44">
        <v>96189.63</v>
      </c>
      <c r="C44">
        <v>148001.10999999999</v>
      </c>
      <c r="D44" t="s">
        <v>8</v>
      </c>
      <c r="E44">
        <f t="shared" si="0"/>
        <v>70671.882169999997</v>
      </c>
    </row>
    <row r="45" spans="1:5">
      <c r="A45">
        <v>15505.73</v>
      </c>
      <c r="B45">
        <v>127382.3</v>
      </c>
      <c r="C45">
        <v>35534.17</v>
      </c>
      <c r="D45" t="s">
        <v>6</v>
      </c>
      <c r="E45">
        <f t="shared" si="0"/>
        <v>60267.294170000001</v>
      </c>
    </row>
    <row r="46" spans="1:5">
      <c r="A46">
        <v>22177.74</v>
      </c>
      <c r="B46">
        <v>154806.14000000001</v>
      </c>
      <c r="C46">
        <v>28334.720000000001</v>
      </c>
      <c r="D46" t="s">
        <v>8</v>
      </c>
      <c r="E46">
        <f t="shared" si="0"/>
        <v>64737.529240000003</v>
      </c>
    </row>
    <row r="47" spans="1:5">
      <c r="A47">
        <v>1000.23</v>
      </c>
      <c r="B47">
        <v>124153.04</v>
      </c>
      <c r="C47">
        <v>1903.93</v>
      </c>
      <c r="D47" t="s">
        <v>6</v>
      </c>
      <c r="E47">
        <f t="shared" si="0"/>
        <v>47751.805450000007</v>
      </c>
    </row>
    <row r="48" spans="1:5">
      <c r="A48">
        <v>1315.46</v>
      </c>
      <c r="B48">
        <v>115816.21</v>
      </c>
      <c r="C48">
        <v>297114.46000000002</v>
      </c>
      <c r="D48" t="s">
        <v>11</v>
      </c>
      <c r="E48">
        <f t="shared" si="0"/>
        <v>56193.322719999996</v>
      </c>
    </row>
    <row r="49" spans="1:5">
      <c r="A49">
        <v>0</v>
      </c>
      <c r="B49">
        <v>135426.92000000001</v>
      </c>
      <c r="C49">
        <v>0</v>
      </c>
      <c r="D49" t="s">
        <v>8</v>
      </c>
      <c r="E49">
        <f t="shared" si="0"/>
        <v>46601.093079999999</v>
      </c>
    </row>
    <row r="50" spans="1:5">
      <c r="A50">
        <v>542.04999999999995</v>
      </c>
      <c r="B50">
        <v>51743.15</v>
      </c>
      <c r="C50">
        <v>0</v>
      </c>
      <c r="D50" t="s">
        <v>6</v>
      </c>
      <c r="E50">
        <f t="shared" si="0"/>
        <v>49213.763399999996</v>
      </c>
    </row>
    <row r="51" spans="1:5">
      <c r="A51">
        <v>0</v>
      </c>
      <c r="B51">
        <v>116983.8</v>
      </c>
      <c r="C51">
        <v>45173.06</v>
      </c>
      <c r="D51" t="s">
        <v>8</v>
      </c>
      <c r="E51">
        <f t="shared" si="0"/>
        <v>48300.286819999994</v>
      </c>
    </row>
  </sheetData>
  <autoFilter ref="A1:E51" xr:uid="{61DDA266-7338-4058-944D-AB1188C2F991}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00C8455A-7628-4D44-A2C0-06089CDA098D}">
          <xm:f>in!1:1048576</xm:f>
        </x15:webExtension>
        <x15:webExtension appRef="{5EEF4775-B703-4F32-92DA-2169FB283D1A}">
          <xm:f>in!$E$1:$E$51</xm:f>
        </x15:webExtension>
        <x15:webExtension appRef="{E80C6DED-791E-4174-A28B-F758F9965889}">
          <xm:f>in!$A$1:$C$51</xm:f>
        </x15:webExtension>
        <x15:webExtension appRef="{0757261C-2ABC-4D57-9FC8-0D38F050B86B}">
          <xm:f>in!$H$1:$Q$20</xm:f>
        </x15:webExtension>
        <x15:webExtension appRef="{D8B62B8A-87C9-4EAC-ACB9-E497EC56CD16}">
          <xm:f>in!1:1048576</xm:f>
        </x15:webExtension>
        <x15:webExtension appRef="{E0D91CED-767E-4B6C-99EA-C6F894FFEE49}">
          <xm:f>in!$E$1:$E$51</xm:f>
        </x15:webExtension>
        <x15:webExtension appRef="{CBAA2BFA-0E23-48C3-82FE-A3DAA210B704}">
          <xm:f>in!$A$1:$C$51</xm:f>
        </x15:webExtension>
        <x15:webExtension appRef="{AA31CE06-D196-4FD4-9EEE-85AB33F6AC65}">
          <xm:f>in!$H$1:$Q$20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samjas3002@gmail.com</cp:lastModifiedBy>
  <cp:revision/>
  <dcterms:created xsi:type="dcterms:W3CDTF">2025-12-29T14:30:09Z</dcterms:created>
  <dcterms:modified xsi:type="dcterms:W3CDTF">2025-12-29T15:31:49Z</dcterms:modified>
  <cp:category/>
  <cp:contentStatus/>
</cp:coreProperties>
</file>